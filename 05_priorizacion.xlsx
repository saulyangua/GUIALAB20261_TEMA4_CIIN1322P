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ource\.vsc\guia_04\Tema4_YanguaSaul\"/>
    </mc:Choice>
  </mc:AlternateContent>
  <xr:revisionPtr revIDLastSave="0" documentId="13_ncr:1_{EBE7C413-CF0A-4A21-B8EA-51750C074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" sheetId="1" r:id="rId1"/>
    <sheet name="WSJF" sheetId="2" r:id="rId2"/>
    <sheet name="Fluj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G17" i="2" s="1"/>
  <c r="G16" i="2"/>
  <c r="E16" i="2"/>
  <c r="G15" i="2"/>
  <c r="E15" i="2"/>
  <c r="G14" i="2"/>
  <c r="E14" i="2"/>
  <c r="E13" i="2"/>
  <c r="G13" i="2" s="1"/>
  <c r="E12" i="2"/>
  <c r="G12" i="2" s="1"/>
  <c r="E11" i="2"/>
  <c r="G11" i="2" s="1"/>
  <c r="E10" i="2"/>
  <c r="G10" i="2" s="1"/>
  <c r="G9" i="2"/>
  <c r="E9" i="2"/>
  <c r="E8" i="2"/>
  <c r="G8" i="2" s="1"/>
  <c r="E7" i="2"/>
  <c r="G7" i="2" s="1"/>
  <c r="E6" i="2"/>
  <c r="G6" i="2" s="1"/>
  <c r="E5" i="2"/>
  <c r="G5" i="2" s="1"/>
  <c r="D19" i="1"/>
  <c r="D21" i="1" s="1"/>
</calcChain>
</file>

<file path=xl/sharedStrings.xml><?xml version="1.0" encoding="utf-8"?>
<sst xmlns="http://schemas.openxmlformats.org/spreadsheetml/2006/main" count="106" uniqueCount="72">
  <si>
    <t>PRIORIZACIÓN DEL PRODUCT BACKLOG — MÉTODO MoSCoW</t>
  </si>
  <si>
    <t>Proyecto: UniDelivery | Sprint 1 (Capacidad: 30 SP)</t>
  </si>
  <si>
    <t>ID</t>
  </si>
  <si>
    <t>Historia de Usuario</t>
  </si>
  <si>
    <t>Categoría</t>
  </si>
  <si>
    <t>Puntos</t>
  </si>
  <si>
    <t>En Sprint</t>
  </si>
  <si>
    <t>Justificación</t>
  </si>
  <si>
    <t>HU-01</t>
  </si>
  <si>
    <t>Registrarse con correo institucional</t>
  </si>
  <si>
    <t>Must</t>
  </si>
  <si>
    <t>Sí</t>
  </si>
  <si>
    <t>Acceso base seguro y obligatorio para la comunidad universitaria.</t>
  </si>
  <si>
    <t>HU-02</t>
  </si>
  <si>
    <t>Iniciar sesión</t>
  </si>
  <si>
    <t>Autenticación crítica para vincular transacciones y pedidos al perfil.</t>
  </si>
  <si>
    <t>HU-03</t>
  </si>
  <si>
    <t>Ver menú del día</t>
  </si>
  <si>
    <t>Funcionalidad núcleo: visualización de oferta gastronómica diaria.</t>
  </si>
  <si>
    <t>HU-04</t>
  </si>
  <si>
    <t>Buscar platos por nombre o categoría</t>
  </si>
  <si>
    <t>Could</t>
  </si>
  <si>
    <t>No</t>
  </si>
  <si>
    <t>Filtro de conveniencia; catálogo inicial es breve y fácil de explorar.</t>
  </si>
  <si>
    <t>HU-05</t>
  </si>
  <si>
    <t>Agregar platos al carrito</t>
  </si>
  <si>
    <t>Estructuración de la comanda previa al proceso de pago.</t>
  </si>
  <si>
    <t>HU-06</t>
  </si>
  <si>
    <t>Pagar con tarjeta</t>
  </si>
  <si>
    <t>Medio de cobro principal para eliminar colas y concretar la orden.</t>
  </si>
  <si>
    <t>HU-07</t>
  </si>
  <si>
    <t>Ver estado del pedido</t>
  </si>
  <si>
    <t>Should</t>
  </si>
  <si>
    <t>Seguimiento en tiempo real esencial para evitar aglomeraciones.</t>
  </si>
  <si>
    <t>HU-08</t>
  </si>
  <si>
    <t>Cancelar pedido en estado "Recibido"</t>
  </si>
  <si>
    <t>Flujo de excepción postergable para una siguiente versión.</t>
  </si>
  <si>
    <t>HU-09</t>
  </si>
  <si>
    <t>Cocinero: ver pedidos pendientes y marcarlos como listos</t>
  </si>
  <si>
    <t>Coordinación operativa indispensable para despacho y cierre de flujo.</t>
  </si>
  <si>
    <t>HU-10</t>
  </si>
  <si>
    <t>Administrador: registrar y editar platos</t>
  </si>
  <si>
    <t>Carga inicial del menú operable directamente por BD/semilla.</t>
  </si>
  <si>
    <t>HU-11</t>
  </si>
  <si>
    <t>Calificar pedido</t>
  </si>
  <si>
    <t>Won't</t>
  </si>
  <si>
    <t>Módulo de feedback no crítico para el MVP operativo.</t>
  </si>
  <si>
    <t>HU-12</t>
  </si>
  <si>
    <t>Administrador: reporte de ventas diarias</t>
  </si>
  <si>
    <t>Reportes analíticos requeridos para etapas posteriores de gestión.</t>
  </si>
  <si>
    <t>HU-13</t>
  </si>
  <si>
    <t>Pagar con Yape (derivada de HU-06)</t>
  </si>
  <si>
    <t>Medio de pago alternativo programado para el Sprint 2.</t>
  </si>
  <si>
    <t>Total Puntos del Sprint</t>
  </si>
  <si>
    <t>Capacidad del Sprint</t>
  </si>
  <si>
    <t>Holgura</t>
  </si>
  <si>
    <t>PRIORIZACIÓN ECONÓMICA DE BACKLOG — WSJF (Weighted Shortest Job First)</t>
  </si>
  <si>
    <t>Fórmulas: Suma (Cost of Delay) = Valor + Tiempo + Riesgo | WSJF = Suma / Tamaño</t>
  </si>
  <si>
    <t>Valor</t>
  </si>
  <si>
    <t>Tiempo</t>
  </si>
  <si>
    <t>Riesgo</t>
  </si>
  <si>
    <t>Suma</t>
  </si>
  <si>
    <t>Tamaño</t>
  </si>
  <si>
    <t>WSJF</t>
  </si>
  <si>
    <t>DIAGRAMA DE FLUJO ACUMULADO — SPRINT 1 (CFD)</t>
  </si>
  <si>
    <t>Monitoreo diario de las 7 historias de usuario del Sprint Backlog</t>
  </si>
  <si>
    <t>Día</t>
  </si>
  <si>
    <t>Sprint Backlog</t>
  </si>
  <si>
    <t>En Progreso</t>
  </si>
  <si>
    <t>En Revisión</t>
  </si>
  <si>
    <t>Hecho</t>
  </si>
  <si>
    <t>* Nota: Datos simulados para representar la evolución del flujo acumulado (CFD) de las 7 historias comprometidas a lo largo de los 10 días hábiles del Sprint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</si>
</sst>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2F2F2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right" vertical="center"/>
    </xf>
    <xf numFmtId="2" fontId="5" fillId="3" borderId="2" xfId="0" applyNumberFormat="1" applyFont="1" applyFill="1" applyBorder="1" applyAlignment="1">
      <alignment horizontal="right" vertical="center"/>
    </xf>
    <xf numFmtId="1" fontId="4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" fontId="8" fillId="5" borderId="10" xfId="0" applyNumberFormat="1" applyFont="1" applyFill="1" applyBorder="1" applyAlignment="1">
      <alignment horizontal="right" vertical="center"/>
    </xf>
    <xf numFmtId="0" fontId="8" fillId="5" borderId="11" xfId="0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6" borderId="3" xfId="0" applyFont="1" applyFill="1" applyBorder="1" applyAlignment="1">
      <alignment horizontal="right"/>
    </xf>
    <xf numFmtId="1" fontId="5" fillId="7" borderId="3" xfId="0" applyNumberFormat="1" applyFont="1" applyFill="1" applyBorder="1" applyAlignment="1">
      <alignment horizontal="right" vertical="center"/>
    </xf>
    <xf numFmtId="1" fontId="5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1F4E7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66060-47E7-497A-95FD-C4D03C714990}" name="Tabla1" displayName="Tabla1" ref="A4:F17" totalsRowShown="0" headerRowDxfId="1" dataDxfId="0" headerRowBorderDxfId="9" tableBorderDxfId="10" totalsRowBorderDxfId="8">
  <autoFilter ref="A4:F17" xr:uid="{52A66060-47E7-497A-95FD-C4D03C714990}"/>
  <tableColumns count="6">
    <tableColumn id="1" xr3:uid="{4F6358B9-846B-4C45-9A74-9D2ECE25A566}" name="ID" dataDxfId="7"/>
    <tableColumn id="2" xr3:uid="{567909BE-5252-4F5F-AA0D-BF78CCDE5D66}" name="Historia de Usuario" dataDxfId="6"/>
    <tableColumn id="3" xr3:uid="{9963D0BF-4D0C-421F-9F39-152C81F31047}" name="Categoría" dataDxfId="5"/>
    <tableColumn id="4" xr3:uid="{58641E3D-9B57-4EE3-B3B5-B8670B6B5CDB}" name="Puntos" dataDxfId="4"/>
    <tableColumn id="5" xr3:uid="{9FD40EC7-99C9-43B9-9975-884F3A71C314}" name="En Sprint" dataDxfId="3"/>
    <tableColumn id="6" xr3:uid="{1636DEC3-1A9D-4E0A-80C4-A9F1E5CDA959}" name="Justificació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6" sqref="F26"/>
    </sheetView>
  </sheetViews>
  <sheetFormatPr baseColWidth="10" defaultColWidth="8.88671875" defaultRowHeight="14.4" x14ac:dyDescent="0.3"/>
  <cols>
    <col min="1" max="1" width="10" customWidth="1"/>
    <col min="2" max="2" width="48.44140625" customWidth="1"/>
    <col min="3" max="3" width="23.6640625" customWidth="1"/>
    <col min="4" max="4" width="12" customWidth="1"/>
    <col min="5" max="5" width="14" customWidth="1"/>
    <col min="6" max="6" width="65" customWidth="1"/>
  </cols>
  <sheetData>
    <row r="1" spans="1:6" ht="17.399999999999999" x14ac:dyDescent="0.3">
      <c r="A1" s="23" t="s">
        <v>0</v>
      </c>
      <c r="B1" s="23"/>
      <c r="C1" s="23"/>
    </row>
    <row r="2" spans="1:6" x14ac:dyDescent="0.3">
      <c r="A2" s="24" t="s">
        <v>1</v>
      </c>
      <c r="B2" s="24"/>
    </row>
    <row r="4" spans="1:6" x14ac:dyDescent="0.3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2" t="s">
        <v>7</v>
      </c>
    </row>
    <row r="5" spans="1:6" x14ac:dyDescent="0.3">
      <c r="A5" s="13" t="s">
        <v>8</v>
      </c>
      <c r="B5" s="14" t="s">
        <v>9</v>
      </c>
      <c r="C5" s="15" t="s">
        <v>10</v>
      </c>
      <c r="D5" s="16">
        <v>3</v>
      </c>
      <c r="E5" s="15" t="s">
        <v>11</v>
      </c>
      <c r="F5" s="17" t="s">
        <v>12</v>
      </c>
    </row>
    <row r="6" spans="1:6" x14ac:dyDescent="0.3">
      <c r="A6" s="13" t="s">
        <v>13</v>
      </c>
      <c r="B6" s="14" t="s">
        <v>14</v>
      </c>
      <c r="C6" s="15" t="s">
        <v>10</v>
      </c>
      <c r="D6" s="16">
        <v>2</v>
      </c>
      <c r="E6" s="15" t="s">
        <v>11</v>
      </c>
      <c r="F6" s="17" t="s">
        <v>15</v>
      </c>
    </row>
    <row r="7" spans="1:6" x14ac:dyDescent="0.3">
      <c r="A7" s="13" t="s">
        <v>16</v>
      </c>
      <c r="B7" s="14" t="s">
        <v>17</v>
      </c>
      <c r="C7" s="15" t="s">
        <v>10</v>
      </c>
      <c r="D7" s="16">
        <v>3</v>
      </c>
      <c r="E7" s="15" t="s">
        <v>11</v>
      </c>
      <c r="F7" s="17" t="s">
        <v>18</v>
      </c>
    </row>
    <row r="8" spans="1:6" x14ac:dyDescent="0.3">
      <c r="A8" s="13" t="s">
        <v>19</v>
      </c>
      <c r="B8" s="14" t="s">
        <v>20</v>
      </c>
      <c r="C8" s="15" t="s">
        <v>21</v>
      </c>
      <c r="D8" s="16">
        <v>3</v>
      </c>
      <c r="E8" s="15" t="s">
        <v>22</v>
      </c>
      <c r="F8" s="17" t="s">
        <v>23</v>
      </c>
    </row>
    <row r="9" spans="1:6" x14ac:dyDescent="0.3">
      <c r="A9" s="13" t="s">
        <v>24</v>
      </c>
      <c r="B9" s="14" t="s">
        <v>25</v>
      </c>
      <c r="C9" s="15" t="s">
        <v>10</v>
      </c>
      <c r="D9" s="16">
        <v>5</v>
      </c>
      <c r="E9" s="15" t="s">
        <v>11</v>
      </c>
      <c r="F9" s="17" t="s">
        <v>26</v>
      </c>
    </row>
    <row r="10" spans="1:6" x14ac:dyDescent="0.3">
      <c r="A10" s="13" t="s">
        <v>27</v>
      </c>
      <c r="B10" s="14" t="s">
        <v>28</v>
      </c>
      <c r="C10" s="15" t="s">
        <v>10</v>
      </c>
      <c r="D10" s="16">
        <v>8</v>
      </c>
      <c r="E10" s="15" t="s">
        <v>11</v>
      </c>
      <c r="F10" s="17" t="s">
        <v>29</v>
      </c>
    </row>
    <row r="11" spans="1:6" x14ac:dyDescent="0.3">
      <c r="A11" s="13" t="s">
        <v>30</v>
      </c>
      <c r="B11" s="14" t="s">
        <v>31</v>
      </c>
      <c r="C11" s="15" t="s">
        <v>32</v>
      </c>
      <c r="D11" s="16">
        <v>3</v>
      </c>
      <c r="E11" s="15" t="s">
        <v>11</v>
      </c>
      <c r="F11" s="17" t="s">
        <v>33</v>
      </c>
    </row>
    <row r="12" spans="1:6" x14ac:dyDescent="0.3">
      <c r="A12" s="13" t="s">
        <v>34</v>
      </c>
      <c r="B12" s="14" t="s">
        <v>35</v>
      </c>
      <c r="C12" s="15" t="s">
        <v>21</v>
      </c>
      <c r="D12" s="16">
        <v>3</v>
      </c>
      <c r="E12" s="15" t="s">
        <v>22</v>
      </c>
      <c r="F12" s="17" t="s">
        <v>36</v>
      </c>
    </row>
    <row r="13" spans="1:6" x14ac:dyDescent="0.3">
      <c r="A13" s="13" t="s">
        <v>37</v>
      </c>
      <c r="B13" s="14" t="s">
        <v>38</v>
      </c>
      <c r="C13" s="15" t="s">
        <v>32</v>
      </c>
      <c r="D13" s="16">
        <v>5</v>
      </c>
      <c r="E13" s="15" t="s">
        <v>11</v>
      </c>
      <c r="F13" s="17" t="s">
        <v>39</v>
      </c>
    </row>
    <row r="14" spans="1:6" x14ac:dyDescent="0.3">
      <c r="A14" s="13" t="s">
        <v>40</v>
      </c>
      <c r="B14" s="14" t="s">
        <v>41</v>
      </c>
      <c r="C14" s="15" t="s">
        <v>32</v>
      </c>
      <c r="D14" s="16">
        <v>5</v>
      </c>
      <c r="E14" s="15" t="s">
        <v>22</v>
      </c>
      <c r="F14" s="17" t="s">
        <v>42</v>
      </c>
    </row>
    <row r="15" spans="1:6" x14ac:dyDescent="0.3">
      <c r="A15" s="13" t="s">
        <v>43</v>
      </c>
      <c r="B15" s="14" t="s">
        <v>44</v>
      </c>
      <c r="C15" s="15" t="s">
        <v>45</v>
      </c>
      <c r="D15" s="16">
        <v>2</v>
      </c>
      <c r="E15" s="15" t="s">
        <v>22</v>
      </c>
      <c r="F15" s="17" t="s">
        <v>46</v>
      </c>
    </row>
    <row r="16" spans="1:6" x14ac:dyDescent="0.3">
      <c r="A16" s="13" t="s">
        <v>47</v>
      </c>
      <c r="B16" s="14" t="s">
        <v>48</v>
      </c>
      <c r="C16" s="15" t="s">
        <v>45</v>
      </c>
      <c r="D16" s="16">
        <v>5</v>
      </c>
      <c r="E16" s="15" t="s">
        <v>22</v>
      </c>
      <c r="F16" s="17" t="s">
        <v>49</v>
      </c>
    </row>
    <row r="17" spans="1:6" x14ac:dyDescent="0.3">
      <c r="A17" s="18" t="s">
        <v>50</v>
      </c>
      <c r="B17" s="19" t="s">
        <v>51</v>
      </c>
      <c r="C17" s="20" t="s">
        <v>32</v>
      </c>
      <c r="D17" s="21">
        <v>5</v>
      </c>
      <c r="E17" s="20" t="s">
        <v>22</v>
      </c>
      <c r="F17" s="22" t="s">
        <v>52</v>
      </c>
    </row>
    <row r="19" spans="1:6" x14ac:dyDescent="0.3">
      <c r="C19" s="25" t="s">
        <v>53</v>
      </c>
      <c r="D19" s="26">
        <f>SUMIF(E5:E17, "Sí", D5:D17)</f>
        <v>29</v>
      </c>
    </row>
    <row r="20" spans="1:6" x14ac:dyDescent="0.3">
      <c r="C20" s="25" t="s">
        <v>54</v>
      </c>
      <c r="D20" s="27">
        <v>30</v>
      </c>
    </row>
    <row r="21" spans="1:6" x14ac:dyDescent="0.3">
      <c r="C21" s="25" t="s">
        <v>55</v>
      </c>
      <c r="D21" s="27">
        <f>D20-D19</f>
        <v>1</v>
      </c>
    </row>
  </sheetData>
  <mergeCells count="2">
    <mergeCell ref="A1:C1"/>
    <mergeCell ref="A2:B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baseColWidth="10" defaultColWidth="8.88671875" defaultRowHeight="14.4" x14ac:dyDescent="0.3"/>
  <cols>
    <col min="1" max="7" width="14" customWidth="1"/>
  </cols>
  <sheetData>
    <row r="1" spans="1:7" ht="17.399999999999999" x14ac:dyDescent="0.3">
      <c r="A1" s="1" t="s">
        <v>56</v>
      </c>
    </row>
    <row r="2" spans="1:7" x14ac:dyDescent="0.3">
      <c r="A2" s="2" t="s">
        <v>57</v>
      </c>
    </row>
    <row r="4" spans="1:7" x14ac:dyDescent="0.3">
      <c r="A4" s="3" t="s">
        <v>2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</row>
    <row r="5" spans="1:7" x14ac:dyDescent="0.3">
      <c r="A5" s="5" t="s">
        <v>13</v>
      </c>
      <c r="B5" s="4">
        <v>5</v>
      </c>
      <c r="C5" s="4">
        <v>8</v>
      </c>
      <c r="D5" s="4">
        <v>3</v>
      </c>
      <c r="E5" s="6">
        <f t="shared" ref="E5:E17" si="0">B5+C5+D5</f>
        <v>16</v>
      </c>
      <c r="F5" s="4">
        <v>2</v>
      </c>
      <c r="G5" s="7">
        <f t="shared" ref="G5:G17" si="1">E5/F5</f>
        <v>8</v>
      </c>
    </row>
    <row r="6" spans="1:7" x14ac:dyDescent="0.3">
      <c r="A6" s="5" t="s">
        <v>8</v>
      </c>
      <c r="B6" s="4">
        <v>8</v>
      </c>
      <c r="C6" s="4">
        <v>8</v>
      </c>
      <c r="D6" s="4">
        <v>5</v>
      </c>
      <c r="E6" s="6">
        <f t="shared" si="0"/>
        <v>21</v>
      </c>
      <c r="F6" s="4">
        <v>3</v>
      </c>
      <c r="G6" s="7">
        <f t="shared" si="1"/>
        <v>7</v>
      </c>
    </row>
    <row r="7" spans="1:7" x14ac:dyDescent="0.3">
      <c r="A7" s="5" t="s">
        <v>16</v>
      </c>
      <c r="B7" s="4">
        <v>8</v>
      </c>
      <c r="C7" s="4">
        <v>5</v>
      </c>
      <c r="D7" s="4">
        <v>3</v>
      </c>
      <c r="E7" s="6">
        <f t="shared" si="0"/>
        <v>16</v>
      </c>
      <c r="F7" s="4">
        <v>3</v>
      </c>
      <c r="G7" s="7">
        <f t="shared" si="1"/>
        <v>5.333333333333333</v>
      </c>
    </row>
    <row r="8" spans="1:7" x14ac:dyDescent="0.3">
      <c r="A8" s="5" t="s">
        <v>27</v>
      </c>
      <c r="B8" s="4">
        <v>13</v>
      </c>
      <c r="C8" s="4">
        <v>8</v>
      </c>
      <c r="D8" s="4">
        <v>8</v>
      </c>
      <c r="E8" s="6">
        <f t="shared" si="0"/>
        <v>29</v>
      </c>
      <c r="F8" s="4">
        <v>8</v>
      </c>
      <c r="G8" s="7">
        <f t="shared" si="1"/>
        <v>3.625</v>
      </c>
    </row>
    <row r="9" spans="1:7" x14ac:dyDescent="0.3">
      <c r="A9" s="5" t="s">
        <v>24</v>
      </c>
      <c r="B9" s="4">
        <v>8</v>
      </c>
      <c r="C9" s="4">
        <v>5</v>
      </c>
      <c r="D9" s="4">
        <v>5</v>
      </c>
      <c r="E9" s="6">
        <f t="shared" si="0"/>
        <v>18</v>
      </c>
      <c r="F9" s="4">
        <v>5</v>
      </c>
      <c r="G9" s="7">
        <f t="shared" si="1"/>
        <v>3.6</v>
      </c>
    </row>
    <row r="10" spans="1:7" x14ac:dyDescent="0.3">
      <c r="A10" s="5" t="s">
        <v>40</v>
      </c>
      <c r="B10" s="4">
        <v>8</v>
      </c>
      <c r="C10" s="4">
        <v>5</v>
      </c>
      <c r="D10" s="4">
        <v>5</v>
      </c>
      <c r="E10" s="6">
        <f t="shared" si="0"/>
        <v>18</v>
      </c>
      <c r="F10" s="4">
        <v>5</v>
      </c>
      <c r="G10" s="7">
        <f t="shared" si="1"/>
        <v>3.6</v>
      </c>
    </row>
    <row r="11" spans="1:7" x14ac:dyDescent="0.3">
      <c r="A11" s="5" t="s">
        <v>50</v>
      </c>
      <c r="B11" s="4">
        <v>8</v>
      </c>
      <c r="C11" s="4">
        <v>5</v>
      </c>
      <c r="D11" s="4">
        <v>5</v>
      </c>
      <c r="E11" s="6">
        <f t="shared" si="0"/>
        <v>18</v>
      </c>
      <c r="F11" s="4">
        <v>5</v>
      </c>
      <c r="G11" s="7">
        <f t="shared" si="1"/>
        <v>3.6</v>
      </c>
    </row>
    <row r="12" spans="1:7" x14ac:dyDescent="0.3">
      <c r="A12" s="5" t="s">
        <v>30</v>
      </c>
      <c r="B12" s="4">
        <v>5</v>
      </c>
      <c r="C12" s="4">
        <v>3</v>
      </c>
      <c r="D12" s="4">
        <v>2</v>
      </c>
      <c r="E12" s="6">
        <f t="shared" si="0"/>
        <v>10</v>
      </c>
      <c r="F12" s="4">
        <v>3</v>
      </c>
      <c r="G12" s="7">
        <f t="shared" si="1"/>
        <v>3.3333333333333335</v>
      </c>
    </row>
    <row r="13" spans="1:7" x14ac:dyDescent="0.3">
      <c r="A13" s="5" t="s">
        <v>37</v>
      </c>
      <c r="B13" s="4">
        <v>8</v>
      </c>
      <c r="C13" s="4">
        <v>5</v>
      </c>
      <c r="D13" s="4">
        <v>3</v>
      </c>
      <c r="E13" s="6">
        <f t="shared" si="0"/>
        <v>16</v>
      </c>
      <c r="F13" s="4">
        <v>5</v>
      </c>
      <c r="G13" s="7">
        <f t="shared" si="1"/>
        <v>3.2</v>
      </c>
    </row>
    <row r="14" spans="1:7" x14ac:dyDescent="0.3">
      <c r="A14" s="5" t="s">
        <v>19</v>
      </c>
      <c r="B14" s="4">
        <v>5</v>
      </c>
      <c r="C14" s="4">
        <v>2</v>
      </c>
      <c r="D14" s="4">
        <v>2</v>
      </c>
      <c r="E14" s="6">
        <f t="shared" si="0"/>
        <v>9</v>
      </c>
      <c r="F14" s="4">
        <v>3</v>
      </c>
      <c r="G14" s="7">
        <f t="shared" si="1"/>
        <v>3</v>
      </c>
    </row>
    <row r="15" spans="1:7" x14ac:dyDescent="0.3">
      <c r="A15" s="5" t="s">
        <v>34</v>
      </c>
      <c r="B15" s="4">
        <v>3</v>
      </c>
      <c r="C15" s="4">
        <v>2</v>
      </c>
      <c r="D15" s="4">
        <v>3</v>
      </c>
      <c r="E15" s="6">
        <f t="shared" si="0"/>
        <v>8</v>
      </c>
      <c r="F15" s="4">
        <v>3</v>
      </c>
      <c r="G15" s="7">
        <f t="shared" si="1"/>
        <v>2.6666666666666665</v>
      </c>
    </row>
    <row r="16" spans="1:7" x14ac:dyDescent="0.3">
      <c r="A16" s="5" t="s">
        <v>43</v>
      </c>
      <c r="B16" s="4">
        <v>2</v>
      </c>
      <c r="C16" s="4">
        <v>1</v>
      </c>
      <c r="D16" s="4">
        <v>1</v>
      </c>
      <c r="E16" s="6">
        <f t="shared" si="0"/>
        <v>4</v>
      </c>
      <c r="F16" s="4">
        <v>2</v>
      </c>
      <c r="G16" s="7">
        <f t="shared" si="1"/>
        <v>2</v>
      </c>
    </row>
    <row r="17" spans="1:7" x14ac:dyDescent="0.3">
      <c r="A17" s="5" t="s">
        <v>47</v>
      </c>
      <c r="B17" s="4">
        <v>5</v>
      </c>
      <c r="C17" s="4">
        <v>2</v>
      </c>
      <c r="D17" s="4">
        <v>2</v>
      </c>
      <c r="E17" s="6">
        <f t="shared" si="0"/>
        <v>9</v>
      </c>
      <c r="F17" s="4">
        <v>5</v>
      </c>
      <c r="G17" s="7">
        <f t="shared" si="1"/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8671875" defaultRowHeight="14.4" x14ac:dyDescent="0.3"/>
  <cols>
    <col min="1" max="1" width="10" customWidth="1"/>
    <col min="2" max="2" width="18" customWidth="1"/>
    <col min="3" max="4" width="16" customWidth="1"/>
    <col min="5" max="5" width="14" customWidth="1"/>
  </cols>
  <sheetData>
    <row r="1" spans="1:5" ht="17.399999999999999" x14ac:dyDescent="0.3">
      <c r="A1" s="1" t="s">
        <v>64</v>
      </c>
    </row>
    <row r="2" spans="1:5" x14ac:dyDescent="0.3">
      <c r="A2" s="2" t="s">
        <v>65</v>
      </c>
    </row>
    <row r="4" spans="1:5" x14ac:dyDescent="0.3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</row>
    <row r="5" spans="1:5" x14ac:dyDescent="0.3">
      <c r="A5" s="8">
        <v>0</v>
      </c>
      <c r="B5" s="8">
        <v>7</v>
      </c>
      <c r="C5" s="8">
        <v>0</v>
      </c>
      <c r="D5" s="8">
        <v>0</v>
      </c>
      <c r="E5" s="8">
        <v>0</v>
      </c>
    </row>
    <row r="6" spans="1:5" x14ac:dyDescent="0.3">
      <c r="A6" s="8">
        <v>1</v>
      </c>
      <c r="B6" s="8">
        <v>5</v>
      </c>
      <c r="C6" s="8">
        <v>2</v>
      </c>
      <c r="D6" s="8">
        <v>0</v>
      </c>
      <c r="E6" s="8">
        <v>0</v>
      </c>
    </row>
    <row r="7" spans="1:5" x14ac:dyDescent="0.3">
      <c r="A7" s="8">
        <v>2</v>
      </c>
      <c r="B7" s="8">
        <v>4</v>
      </c>
      <c r="C7" s="8">
        <v>3</v>
      </c>
      <c r="D7" s="8">
        <v>0</v>
      </c>
      <c r="E7" s="8">
        <v>0</v>
      </c>
    </row>
    <row r="8" spans="1:5" x14ac:dyDescent="0.3">
      <c r="A8" s="8">
        <v>3</v>
      </c>
      <c r="B8" s="8">
        <v>4</v>
      </c>
      <c r="C8" s="8">
        <v>2</v>
      </c>
      <c r="D8" s="8">
        <v>1</v>
      </c>
      <c r="E8" s="8">
        <v>0</v>
      </c>
    </row>
    <row r="9" spans="1:5" x14ac:dyDescent="0.3">
      <c r="A9" s="8">
        <v>4</v>
      </c>
      <c r="B9" s="8">
        <v>3</v>
      </c>
      <c r="C9" s="8">
        <v>3</v>
      </c>
      <c r="D9" s="8">
        <v>1</v>
      </c>
      <c r="E9" s="8">
        <v>0</v>
      </c>
    </row>
    <row r="10" spans="1:5" x14ac:dyDescent="0.3">
      <c r="A10" s="8">
        <v>5</v>
      </c>
      <c r="B10" s="8">
        <v>2</v>
      </c>
      <c r="C10" s="8">
        <v>3</v>
      </c>
      <c r="D10" s="8">
        <v>1</v>
      </c>
      <c r="E10" s="8">
        <v>1</v>
      </c>
    </row>
    <row r="11" spans="1:5" x14ac:dyDescent="0.3">
      <c r="A11" s="8">
        <v>6</v>
      </c>
      <c r="B11" s="8">
        <v>2</v>
      </c>
      <c r="C11" s="8">
        <v>2</v>
      </c>
      <c r="D11" s="8">
        <v>2</v>
      </c>
      <c r="E11" s="8">
        <v>1</v>
      </c>
    </row>
    <row r="12" spans="1:5" x14ac:dyDescent="0.3">
      <c r="A12" s="8">
        <v>7</v>
      </c>
      <c r="B12" s="8">
        <v>1</v>
      </c>
      <c r="C12" s="8">
        <v>3</v>
      </c>
      <c r="D12" s="8">
        <v>2</v>
      </c>
      <c r="E12" s="8">
        <v>1</v>
      </c>
    </row>
    <row r="13" spans="1:5" x14ac:dyDescent="0.3">
      <c r="A13" s="8">
        <v>8</v>
      </c>
      <c r="B13" s="8">
        <v>0</v>
      </c>
      <c r="C13" s="8">
        <v>3</v>
      </c>
      <c r="D13" s="8">
        <v>2</v>
      </c>
      <c r="E13" s="8">
        <v>2</v>
      </c>
    </row>
    <row r="14" spans="1:5" x14ac:dyDescent="0.3">
      <c r="A14" s="8">
        <v>9</v>
      </c>
      <c r="B14" s="8">
        <v>0</v>
      </c>
      <c r="C14" s="8">
        <v>1</v>
      </c>
      <c r="D14" s="8">
        <v>2</v>
      </c>
      <c r="E14" s="8">
        <v>4</v>
      </c>
    </row>
    <row r="15" spans="1:5" x14ac:dyDescent="0.3">
      <c r="A15" s="8">
        <v>10</v>
      </c>
      <c r="B15" s="8">
        <v>0</v>
      </c>
      <c r="C15" s="8">
        <v>0</v>
      </c>
      <c r="D15" s="8">
        <v>0</v>
      </c>
      <c r="E15" s="8">
        <v>7</v>
      </c>
    </row>
    <row r="17" spans="1:1" x14ac:dyDescent="0.3">
      <c r="A17" s="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MoSCoW</vt:lpstr>
      <vt:lpstr>WSJF</vt:lpstr>
      <vt:lpstr>Flujo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Yangua</cp:lastModifiedBy>
  <dcterms:created xsi:type="dcterms:W3CDTF">2026-10-10T05:48:12Z</dcterms:created>
  <dcterms:modified xsi:type="dcterms:W3CDTF">2026-10-10T23:00:51Z</dcterms:modified>
</cp:coreProperties>
</file>