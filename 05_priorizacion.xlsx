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SCoW" sheetId="1" state="visible" r:id="rId1"/>
    <sheet xmlns:r="http://schemas.openxmlformats.org/officeDocument/2006/relationships" name="WSJF" sheetId="2" state="visible" r:id="rId2"/>
    <sheet xmlns:r="http://schemas.openxmlformats.org/officeDocument/2006/relationships" name="Fluj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i val="1"/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4E7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E7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1" fontId="4" fillId="0" borderId="2" applyAlignment="1" pivotButton="0" quotePrefix="0" xfId="0">
      <alignment horizontal="right" vertical="center"/>
    </xf>
    <xf numFmtId="0" fontId="5" fillId="3" borderId="2" applyAlignment="1" pivotButton="0" quotePrefix="0" xfId="0">
      <alignment horizontal="right"/>
    </xf>
    <xf numFmtId="1" fontId="5" fillId="4" borderId="2" applyAlignment="1" pivotButton="0" quotePrefix="0" xfId="0">
      <alignment horizontal="right" vertical="center"/>
    </xf>
    <xf numFmtId="1" fontId="5" fillId="5" borderId="2" applyAlignment="1" pivotButton="0" quotePrefix="0" xfId="0">
      <alignment horizontal="right" vertical="center"/>
    </xf>
    <xf numFmtId="0" fontId="5" fillId="3" borderId="3" applyAlignment="1" pivotButton="0" quotePrefix="0" xfId="0">
      <alignment horizontal="right"/>
    </xf>
    <xf numFmtId="1" fontId="5" fillId="5" borderId="3" applyAlignment="1" pivotButton="0" quotePrefix="0" xfId="0">
      <alignment horizontal="right" vertical="center"/>
    </xf>
    <xf numFmtId="0" fontId="5" fillId="0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right" vertical="center"/>
    </xf>
    <xf numFmtId="2" fontId="5" fillId="4" borderId="2" applyAlignment="1" pivotButton="0" quotePrefix="0" xfId="0">
      <alignment horizontal="right" vertical="center"/>
    </xf>
    <xf numFmtId="1" fontId="4" fillId="0" borderId="2" applyAlignment="1" pivotButton="0" quotePrefix="0" xfId="0">
      <alignment horizontal="center" vertical="center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18" customWidth="1" min="3" max="3"/>
    <col width="12" customWidth="1" min="4" max="4"/>
    <col width="14" customWidth="1" min="5" max="5"/>
    <col width="65" customWidth="1" min="6" max="6"/>
  </cols>
  <sheetData>
    <row r="1">
      <c r="A1" s="1" t="inlineStr">
        <is>
          <t>PRIORIZACIÓN DEL PRODUCT BACKLOG — MÉTODO MoSCoW</t>
        </is>
      </c>
    </row>
    <row r="2">
      <c r="A2" s="2" t="inlineStr">
        <is>
          <t>Proyecto: UniDelivery | Sprint 1 (Capacidad: 30 SP)</t>
        </is>
      </c>
    </row>
    <row r="4">
      <c r="A4" s="3" t="inlineStr">
        <is>
          <t>ID</t>
        </is>
      </c>
      <c r="B4" s="3" t="inlineStr">
        <is>
          <t>Historia de Usuario</t>
        </is>
      </c>
      <c r="C4" s="3" t="inlineStr">
        <is>
          <t>Categoría</t>
        </is>
      </c>
      <c r="D4" s="3" t="inlineStr">
        <is>
          <t>Puntos</t>
        </is>
      </c>
      <c r="E4" s="3" t="inlineStr">
        <is>
          <t>En Sprint</t>
        </is>
      </c>
      <c r="F4" s="3" t="inlineStr">
        <is>
          <t>Justificación</t>
        </is>
      </c>
    </row>
    <row r="5">
      <c r="A5" s="4" t="inlineStr">
        <is>
          <t>HU-01</t>
        </is>
      </c>
      <c r="B5" s="5" t="inlineStr">
        <is>
          <t>Registrarse con correo institucional</t>
        </is>
      </c>
      <c r="C5" s="4" t="inlineStr">
        <is>
          <t>Must</t>
        </is>
      </c>
      <c r="D5" s="6" t="n">
        <v>3</v>
      </c>
      <c r="E5" s="4" t="inlineStr">
        <is>
          <t>Sí</t>
        </is>
      </c>
      <c r="F5" s="5" t="inlineStr">
        <is>
          <t>Acceso base seguro y obligatorio para la comunidad universitaria.</t>
        </is>
      </c>
    </row>
    <row r="6">
      <c r="A6" s="4" t="inlineStr">
        <is>
          <t>HU-02</t>
        </is>
      </c>
      <c r="B6" s="5" t="inlineStr">
        <is>
          <t>Iniciar sesión</t>
        </is>
      </c>
      <c r="C6" s="4" t="inlineStr">
        <is>
          <t>Must</t>
        </is>
      </c>
      <c r="D6" s="6" t="n">
        <v>2</v>
      </c>
      <c r="E6" s="4" t="inlineStr">
        <is>
          <t>Sí</t>
        </is>
      </c>
      <c r="F6" s="5" t="inlineStr">
        <is>
          <t>Autenticación crítica para vincular transacciones y pedidos al perfil.</t>
        </is>
      </c>
    </row>
    <row r="7">
      <c r="A7" s="4" t="inlineStr">
        <is>
          <t>HU-03</t>
        </is>
      </c>
      <c r="B7" s="5" t="inlineStr">
        <is>
          <t>Ver menú del día</t>
        </is>
      </c>
      <c r="C7" s="4" t="inlineStr">
        <is>
          <t>Must</t>
        </is>
      </c>
      <c r="D7" s="6" t="n">
        <v>3</v>
      </c>
      <c r="E7" s="4" t="inlineStr">
        <is>
          <t>Sí</t>
        </is>
      </c>
      <c r="F7" s="5" t="inlineStr">
        <is>
          <t>Funcionalidad núcleo: visualización de oferta gastronómica diaria.</t>
        </is>
      </c>
    </row>
    <row r="8">
      <c r="A8" s="4" t="inlineStr">
        <is>
          <t>HU-04</t>
        </is>
      </c>
      <c r="B8" s="5" t="inlineStr">
        <is>
          <t>Buscar platos por nombre o categoría</t>
        </is>
      </c>
      <c r="C8" s="4" t="inlineStr">
        <is>
          <t>Could</t>
        </is>
      </c>
      <c r="D8" s="6" t="n">
        <v>3</v>
      </c>
      <c r="E8" s="4" t="inlineStr">
        <is>
          <t>No</t>
        </is>
      </c>
      <c r="F8" s="5" t="inlineStr">
        <is>
          <t>Filtro de conveniencia; catálogo inicial es breve y fácil de explorar.</t>
        </is>
      </c>
    </row>
    <row r="9">
      <c r="A9" s="4" t="inlineStr">
        <is>
          <t>HU-05</t>
        </is>
      </c>
      <c r="B9" s="5" t="inlineStr">
        <is>
          <t>Agregar platos al carrito</t>
        </is>
      </c>
      <c r="C9" s="4" t="inlineStr">
        <is>
          <t>Must</t>
        </is>
      </c>
      <c r="D9" s="6" t="n">
        <v>5</v>
      </c>
      <c r="E9" s="4" t="inlineStr">
        <is>
          <t>Sí</t>
        </is>
      </c>
      <c r="F9" s="5" t="inlineStr">
        <is>
          <t>Estructuración de la comanda previa al proceso de pago.</t>
        </is>
      </c>
    </row>
    <row r="10">
      <c r="A10" s="4" t="inlineStr">
        <is>
          <t>HU-06</t>
        </is>
      </c>
      <c r="B10" s="5" t="inlineStr">
        <is>
          <t>Pagar con tarjeta</t>
        </is>
      </c>
      <c r="C10" s="4" t="inlineStr">
        <is>
          <t>Must</t>
        </is>
      </c>
      <c r="D10" s="6" t="n">
        <v>8</v>
      </c>
      <c r="E10" s="4" t="inlineStr">
        <is>
          <t>Sí</t>
        </is>
      </c>
      <c r="F10" s="5" t="inlineStr">
        <is>
          <t>Medio de cobro principal para eliminar colas y concretar la orden.</t>
        </is>
      </c>
    </row>
    <row r="11">
      <c r="A11" s="4" t="inlineStr">
        <is>
          <t>HU-07</t>
        </is>
      </c>
      <c r="B11" s="5" t="inlineStr">
        <is>
          <t>Ver estado del pedido</t>
        </is>
      </c>
      <c r="C11" s="4" t="inlineStr">
        <is>
          <t>Should</t>
        </is>
      </c>
      <c r="D11" s="6" t="n">
        <v>3</v>
      </c>
      <c r="E11" s="4" t="inlineStr">
        <is>
          <t>Sí</t>
        </is>
      </c>
      <c r="F11" s="5" t="inlineStr">
        <is>
          <t>Seguimiento en tiempo real esencial para evitar aglomeraciones.</t>
        </is>
      </c>
    </row>
    <row r="12">
      <c r="A12" s="4" t="inlineStr">
        <is>
          <t>HU-08</t>
        </is>
      </c>
      <c r="B12" s="5" t="inlineStr">
        <is>
          <t>Cancelar pedido en estado "Recibido"</t>
        </is>
      </c>
      <c r="C12" s="4" t="inlineStr">
        <is>
          <t>Could</t>
        </is>
      </c>
      <c r="D12" s="6" t="n">
        <v>3</v>
      </c>
      <c r="E12" s="4" t="inlineStr">
        <is>
          <t>No</t>
        </is>
      </c>
      <c r="F12" s="5" t="inlineStr">
        <is>
          <t>Flujo de excepción postergable para una siguiente versión.</t>
        </is>
      </c>
    </row>
    <row r="13">
      <c r="A13" s="4" t="inlineStr">
        <is>
          <t>HU-09</t>
        </is>
      </c>
      <c r="B13" s="5" t="inlineStr">
        <is>
          <t>Cocinero: ver pedidos pendientes y marcarlos como listos</t>
        </is>
      </c>
      <c r="C13" s="4" t="inlineStr">
        <is>
          <t>Should</t>
        </is>
      </c>
      <c r="D13" s="6" t="n">
        <v>5</v>
      </c>
      <c r="E13" s="4" t="inlineStr">
        <is>
          <t>Sí</t>
        </is>
      </c>
      <c r="F13" s="5" t="inlineStr">
        <is>
          <t>Coordinación operativa indispensable para despacho y cierre de flujo.</t>
        </is>
      </c>
    </row>
    <row r="14">
      <c r="A14" s="4" t="inlineStr">
        <is>
          <t>HU-10</t>
        </is>
      </c>
      <c r="B14" s="5" t="inlineStr">
        <is>
          <t>Administrador: registrar y editar platos</t>
        </is>
      </c>
      <c r="C14" s="4" t="inlineStr">
        <is>
          <t>Should</t>
        </is>
      </c>
      <c r="D14" s="6" t="n">
        <v>5</v>
      </c>
      <c r="E14" s="4" t="inlineStr">
        <is>
          <t>No</t>
        </is>
      </c>
      <c r="F14" s="5" t="inlineStr">
        <is>
          <t>Carga inicial del menú operable directamente por BD/semilla.</t>
        </is>
      </c>
    </row>
    <row r="15">
      <c r="A15" s="4" t="inlineStr">
        <is>
          <t>HU-11</t>
        </is>
      </c>
      <c r="B15" s="5" t="inlineStr">
        <is>
          <t>Calificar pedido</t>
        </is>
      </c>
      <c r="C15" s="4" t="inlineStr">
        <is>
          <t>Won't</t>
        </is>
      </c>
      <c r="D15" s="6" t="n">
        <v>2</v>
      </c>
      <c r="E15" s="4" t="inlineStr">
        <is>
          <t>No</t>
        </is>
      </c>
      <c r="F15" s="5" t="inlineStr">
        <is>
          <t>Módulo de feedback no crítico para el MVP operativo.</t>
        </is>
      </c>
    </row>
    <row r="16">
      <c r="A16" s="4" t="inlineStr">
        <is>
          <t>HU-12</t>
        </is>
      </c>
      <c r="B16" s="5" t="inlineStr">
        <is>
          <t>Administrador: reporte de ventas diarias</t>
        </is>
      </c>
      <c r="C16" s="4" t="inlineStr">
        <is>
          <t>Won't</t>
        </is>
      </c>
      <c r="D16" s="6" t="n">
        <v>5</v>
      </c>
      <c r="E16" s="4" t="inlineStr">
        <is>
          <t>No</t>
        </is>
      </c>
      <c r="F16" s="5" t="inlineStr">
        <is>
          <t>Reportes analíticos requeridos para etapas posteriores de gestión.</t>
        </is>
      </c>
    </row>
    <row r="17">
      <c r="A17" s="4" t="inlineStr">
        <is>
          <t>HU-13</t>
        </is>
      </c>
      <c r="B17" s="5" t="inlineStr">
        <is>
          <t>Pagar con Yape (derivada de HU-06)</t>
        </is>
      </c>
      <c r="C17" s="4" t="inlineStr">
        <is>
          <t>Should</t>
        </is>
      </c>
      <c r="D17" s="6" t="n">
        <v>5</v>
      </c>
      <c r="E17" s="4" t="inlineStr">
        <is>
          <t>No</t>
        </is>
      </c>
      <c r="F17" s="5" t="inlineStr">
        <is>
          <t>Medio de pago alternativo programado para el Sprint 2.</t>
        </is>
      </c>
    </row>
    <row r="19">
      <c r="C19" s="7" t="inlineStr">
        <is>
          <t>Total Puntos del Sprint</t>
        </is>
      </c>
      <c r="D19" s="8">
        <f>SUMIF(E5:E17, "Sí", D5:D17)</f>
        <v/>
      </c>
    </row>
    <row r="20">
      <c r="C20" s="7" t="inlineStr">
        <is>
          <t>Capacidad del Sprint</t>
        </is>
      </c>
      <c r="D20" s="9" t="n">
        <v>30</v>
      </c>
    </row>
    <row r="21">
      <c r="C21" s="10" t="inlineStr">
        <is>
          <t>Holgura</t>
        </is>
      </c>
      <c r="D21" s="11">
        <f>D20-D19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PRIORIZACIÓN ECONÓMICA DE BACKLOG — WSJF (Weighted Shortest Job First)</t>
        </is>
      </c>
    </row>
    <row r="2">
      <c r="A2" s="2" t="inlineStr">
        <is>
          <t>Fórmulas: Suma (Cost of Delay) = Valor + Tiempo + Riesgo | WSJF = Suma / Tamaño</t>
        </is>
      </c>
    </row>
    <row r="4">
      <c r="A4" s="3" t="inlineStr">
        <is>
          <t>ID</t>
        </is>
      </c>
      <c r="B4" s="3" t="inlineStr">
        <is>
          <t>Valor</t>
        </is>
      </c>
      <c r="C4" s="3" t="inlineStr">
        <is>
          <t>Tiempo</t>
        </is>
      </c>
      <c r="D4" s="3" t="inlineStr">
        <is>
          <t>Riesgo</t>
        </is>
      </c>
      <c r="E4" s="3" t="inlineStr">
        <is>
          <t>Suma</t>
        </is>
      </c>
      <c r="F4" s="3" t="inlineStr">
        <is>
          <t>Tamaño</t>
        </is>
      </c>
      <c r="G4" s="3" t="inlineStr">
        <is>
          <t>WSJF</t>
        </is>
      </c>
    </row>
    <row r="5">
      <c r="A5" s="12" t="inlineStr">
        <is>
          <t>HU-02</t>
        </is>
      </c>
      <c r="B5" s="6" t="n">
        <v>5</v>
      </c>
      <c r="C5" s="6" t="n">
        <v>8</v>
      </c>
      <c r="D5" s="6" t="n">
        <v>3</v>
      </c>
      <c r="E5" s="13">
        <f>B5+C5+D5</f>
        <v/>
      </c>
      <c r="F5" s="6" t="n">
        <v>2</v>
      </c>
      <c r="G5" s="14">
        <f>E5/F5</f>
        <v/>
      </c>
    </row>
    <row r="6">
      <c r="A6" s="12" t="inlineStr">
        <is>
          <t>HU-01</t>
        </is>
      </c>
      <c r="B6" s="6" t="n">
        <v>8</v>
      </c>
      <c r="C6" s="6" t="n">
        <v>8</v>
      </c>
      <c r="D6" s="6" t="n">
        <v>5</v>
      </c>
      <c r="E6" s="13">
        <f>B6+C6+D6</f>
        <v/>
      </c>
      <c r="F6" s="6" t="n">
        <v>3</v>
      </c>
      <c r="G6" s="14">
        <f>E6/F6</f>
        <v/>
      </c>
    </row>
    <row r="7">
      <c r="A7" s="12" t="inlineStr">
        <is>
          <t>HU-03</t>
        </is>
      </c>
      <c r="B7" s="6" t="n">
        <v>8</v>
      </c>
      <c r="C7" s="6" t="n">
        <v>5</v>
      </c>
      <c r="D7" s="6" t="n">
        <v>3</v>
      </c>
      <c r="E7" s="13">
        <f>B7+C7+D7</f>
        <v/>
      </c>
      <c r="F7" s="6" t="n">
        <v>3</v>
      </c>
      <c r="G7" s="14">
        <f>E7/F7</f>
        <v/>
      </c>
    </row>
    <row r="8">
      <c r="A8" s="12" t="inlineStr">
        <is>
          <t>HU-06</t>
        </is>
      </c>
      <c r="B8" s="6" t="n">
        <v>13</v>
      </c>
      <c r="C8" s="6" t="n">
        <v>8</v>
      </c>
      <c r="D8" s="6" t="n">
        <v>8</v>
      </c>
      <c r="E8" s="13">
        <f>B8+C8+D8</f>
        <v/>
      </c>
      <c r="F8" s="6" t="n">
        <v>8</v>
      </c>
      <c r="G8" s="14">
        <f>E8/F8</f>
        <v/>
      </c>
    </row>
    <row r="9">
      <c r="A9" s="12" t="inlineStr">
        <is>
          <t>HU-05</t>
        </is>
      </c>
      <c r="B9" s="6" t="n">
        <v>8</v>
      </c>
      <c r="C9" s="6" t="n">
        <v>5</v>
      </c>
      <c r="D9" s="6" t="n">
        <v>5</v>
      </c>
      <c r="E9" s="13">
        <f>B9+C9+D9</f>
        <v/>
      </c>
      <c r="F9" s="6" t="n">
        <v>5</v>
      </c>
      <c r="G9" s="14">
        <f>E9/F9</f>
        <v/>
      </c>
    </row>
    <row r="10">
      <c r="A10" s="12" t="inlineStr">
        <is>
          <t>HU-10</t>
        </is>
      </c>
      <c r="B10" s="6" t="n">
        <v>8</v>
      </c>
      <c r="C10" s="6" t="n">
        <v>5</v>
      </c>
      <c r="D10" s="6" t="n">
        <v>5</v>
      </c>
      <c r="E10" s="13">
        <f>B10+C10+D10</f>
        <v/>
      </c>
      <c r="F10" s="6" t="n">
        <v>5</v>
      </c>
      <c r="G10" s="14">
        <f>E10/F10</f>
        <v/>
      </c>
    </row>
    <row r="11">
      <c r="A11" s="12" t="inlineStr">
        <is>
          <t>HU-13</t>
        </is>
      </c>
      <c r="B11" s="6" t="n">
        <v>8</v>
      </c>
      <c r="C11" s="6" t="n">
        <v>5</v>
      </c>
      <c r="D11" s="6" t="n">
        <v>5</v>
      </c>
      <c r="E11" s="13">
        <f>B11+C11+D11</f>
        <v/>
      </c>
      <c r="F11" s="6" t="n">
        <v>5</v>
      </c>
      <c r="G11" s="14">
        <f>E11/F11</f>
        <v/>
      </c>
    </row>
    <row r="12">
      <c r="A12" s="12" t="inlineStr">
        <is>
          <t>HU-07</t>
        </is>
      </c>
      <c r="B12" s="6" t="n">
        <v>5</v>
      </c>
      <c r="C12" s="6" t="n">
        <v>3</v>
      </c>
      <c r="D12" s="6" t="n">
        <v>2</v>
      </c>
      <c r="E12" s="13">
        <f>B12+C12+D12</f>
        <v/>
      </c>
      <c r="F12" s="6" t="n">
        <v>3</v>
      </c>
      <c r="G12" s="14">
        <f>E12/F12</f>
        <v/>
      </c>
    </row>
    <row r="13">
      <c r="A13" s="12" t="inlineStr">
        <is>
          <t>HU-09</t>
        </is>
      </c>
      <c r="B13" s="6" t="n">
        <v>8</v>
      </c>
      <c r="C13" s="6" t="n">
        <v>5</v>
      </c>
      <c r="D13" s="6" t="n">
        <v>3</v>
      </c>
      <c r="E13" s="13">
        <f>B13+C13+D13</f>
        <v/>
      </c>
      <c r="F13" s="6" t="n">
        <v>5</v>
      </c>
      <c r="G13" s="14">
        <f>E13/F13</f>
        <v/>
      </c>
    </row>
    <row r="14">
      <c r="A14" s="12" t="inlineStr">
        <is>
          <t>HU-04</t>
        </is>
      </c>
      <c r="B14" s="6" t="n">
        <v>5</v>
      </c>
      <c r="C14" s="6" t="n">
        <v>2</v>
      </c>
      <c r="D14" s="6" t="n">
        <v>2</v>
      </c>
      <c r="E14" s="13">
        <f>B14+C14+D14</f>
        <v/>
      </c>
      <c r="F14" s="6" t="n">
        <v>3</v>
      </c>
      <c r="G14" s="14">
        <f>E14/F14</f>
        <v/>
      </c>
    </row>
    <row r="15">
      <c r="A15" s="12" t="inlineStr">
        <is>
          <t>HU-08</t>
        </is>
      </c>
      <c r="B15" s="6" t="n">
        <v>3</v>
      </c>
      <c r="C15" s="6" t="n">
        <v>2</v>
      </c>
      <c r="D15" s="6" t="n">
        <v>3</v>
      </c>
      <c r="E15" s="13">
        <f>B15+C15+D15</f>
        <v/>
      </c>
      <c r="F15" s="6" t="n">
        <v>3</v>
      </c>
      <c r="G15" s="14">
        <f>E15/F15</f>
        <v/>
      </c>
    </row>
    <row r="16">
      <c r="A16" s="12" t="inlineStr">
        <is>
          <t>HU-11</t>
        </is>
      </c>
      <c r="B16" s="6" t="n">
        <v>2</v>
      </c>
      <c r="C16" s="6" t="n">
        <v>1</v>
      </c>
      <c r="D16" s="6" t="n">
        <v>1</v>
      </c>
      <c r="E16" s="13">
        <f>B16+C16+D16</f>
        <v/>
      </c>
      <c r="F16" s="6" t="n">
        <v>2</v>
      </c>
      <c r="G16" s="14">
        <f>E16/F16</f>
        <v/>
      </c>
    </row>
    <row r="17">
      <c r="A17" s="12" t="inlineStr">
        <is>
          <t>HU-12</t>
        </is>
      </c>
      <c r="B17" s="6" t="n">
        <v>5</v>
      </c>
      <c r="C17" s="6" t="n">
        <v>2</v>
      </c>
      <c r="D17" s="6" t="n">
        <v>2</v>
      </c>
      <c r="E17" s="13">
        <f>B17+C17+D17</f>
        <v/>
      </c>
      <c r="F17" s="6" t="n">
        <v>5</v>
      </c>
      <c r="G17" s="14">
        <f>E17/F17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4" customWidth="1" min="5" max="5"/>
  </cols>
  <sheetData>
    <row r="1">
      <c r="A1" s="1" t="inlineStr">
        <is>
          <t>DIAGRAMA DE FLUJO ACUMULADO — SPRINT 1 (CFD)</t>
        </is>
      </c>
    </row>
    <row r="2">
      <c r="A2" s="2" t="inlineStr">
        <is>
          <t>Monitoreo diario de las 7 historias de usuario del Sprint Backlog</t>
        </is>
      </c>
    </row>
    <row r="4">
      <c r="A4" s="3" t="inlineStr">
        <is>
          <t>Día</t>
        </is>
      </c>
      <c r="B4" s="3" t="inlineStr">
        <is>
          <t>Sprint Backlog</t>
        </is>
      </c>
      <c r="C4" s="3" t="inlineStr">
        <is>
          <t>En Progreso</t>
        </is>
      </c>
      <c r="D4" s="3" t="inlineStr">
        <is>
          <t>En Revisión</t>
        </is>
      </c>
      <c r="E4" s="3" t="inlineStr">
        <is>
          <t>Hecho</t>
        </is>
      </c>
    </row>
    <row r="5">
      <c r="A5" s="15" t="n">
        <v>0</v>
      </c>
      <c r="B5" s="15" t="n">
        <v>7</v>
      </c>
      <c r="C5" s="15" t="n">
        <v>0</v>
      </c>
      <c r="D5" s="15" t="n">
        <v>0</v>
      </c>
      <c r="E5" s="15" t="n">
        <v>0</v>
      </c>
    </row>
    <row r="6">
      <c r="A6" s="15" t="n">
        <v>1</v>
      </c>
      <c r="B6" s="15" t="n">
        <v>5</v>
      </c>
      <c r="C6" s="15" t="n">
        <v>2</v>
      </c>
      <c r="D6" s="15" t="n">
        <v>0</v>
      </c>
      <c r="E6" s="15" t="n">
        <v>0</v>
      </c>
    </row>
    <row r="7">
      <c r="A7" s="15" t="n">
        <v>2</v>
      </c>
      <c r="B7" s="15" t="n">
        <v>4</v>
      </c>
      <c r="C7" s="15" t="n">
        <v>3</v>
      </c>
      <c r="D7" s="15" t="n">
        <v>0</v>
      </c>
      <c r="E7" s="15" t="n">
        <v>0</v>
      </c>
    </row>
    <row r="8">
      <c r="A8" s="15" t="n">
        <v>3</v>
      </c>
      <c r="B8" s="15" t="n">
        <v>4</v>
      </c>
      <c r="C8" s="15" t="n">
        <v>2</v>
      </c>
      <c r="D8" s="15" t="n">
        <v>1</v>
      </c>
      <c r="E8" s="15" t="n">
        <v>0</v>
      </c>
    </row>
    <row r="9">
      <c r="A9" s="15" t="n">
        <v>4</v>
      </c>
      <c r="B9" s="15" t="n">
        <v>3</v>
      </c>
      <c r="C9" s="15" t="n">
        <v>3</v>
      </c>
      <c r="D9" s="15" t="n">
        <v>1</v>
      </c>
      <c r="E9" s="15" t="n">
        <v>0</v>
      </c>
    </row>
    <row r="10">
      <c r="A10" s="15" t="n">
        <v>5</v>
      </c>
      <c r="B10" s="15" t="n">
        <v>2</v>
      </c>
      <c r="C10" s="15" t="n">
        <v>3</v>
      </c>
      <c r="D10" s="15" t="n">
        <v>1</v>
      </c>
      <c r="E10" s="15" t="n">
        <v>1</v>
      </c>
    </row>
    <row r="11">
      <c r="A11" s="15" t="n">
        <v>6</v>
      </c>
      <c r="B11" s="15" t="n">
        <v>2</v>
      </c>
      <c r="C11" s="15" t="n">
        <v>2</v>
      </c>
      <c r="D11" s="15" t="n">
        <v>2</v>
      </c>
      <c r="E11" s="15" t="n">
        <v>1</v>
      </c>
    </row>
    <row r="12">
      <c r="A12" s="15" t="n">
        <v>7</v>
      </c>
      <c r="B12" s="15" t="n">
        <v>1</v>
      </c>
      <c r="C12" s="15" t="n">
        <v>3</v>
      </c>
      <c r="D12" s="15" t="n">
        <v>2</v>
      </c>
      <c r="E12" s="15" t="n">
        <v>1</v>
      </c>
    </row>
    <row r="13">
      <c r="A13" s="15" t="n">
        <v>8</v>
      </c>
      <c r="B13" s="15" t="n">
        <v>0</v>
      </c>
      <c r="C13" s="15" t="n">
        <v>3</v>
      </c>
      <c r="D13" s="15" t="n">
        <v>2</v>
      </c>
      <c r="E13" s="15" t="n">
        <v>2</v>
      </c>
    </row>
    <row r="14">
      <c r="A14" s="15" t="n">
        <v>9</v>
      </c>
      <c r="B14" s="15" t="n">
        <v>0</v>
      </c>
      <c r="C14" s="15" t="n">
        <v>1</v>
      </c>
      <c r="D14" s="15" t="n">
        <v>2</v>
      </c>
      <c r="E14" s="15" t="n">
        <v>4</v>
      </c>
    </row>
    <row r="15">
      <c r="A15" s="15" t="n">
        <v>10</v>
      </c>
      <c r="B15" s="15" t="n">
        <v>0</v>
      </c>
      <c r="C15" s="15" t="n">
        <v>0</v>
      </c>
      <c r="D15" s="15" t="n">
        <v>0</v>
      </c>
      <c r="E15" s="15" t="n">
        <v>7</v>
      </c>
    </row>
    <row r="17">
      <c r="A17" s="16" t="inlineStr">
        <is>
          <t>* Nota: Datos simulados para representar la evolución del flujo acumulado (CFD) de las 7 historias comprometidas a lo largo de los 10 días hábiles del Sprint 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2026-10-10T05:48:12Z</dcterms:created>
  <dcterms:modified xmlns:dcterms="http://purl.org/dc/terms/" xmlns:xsi="http://www.w3.org/2001/XMLSchema-instance" xsi:type="dcterms:W3CDTF">2026-10-10T05:48:12Z</dcterms:modified>
</cp:coreProperties>
</file>